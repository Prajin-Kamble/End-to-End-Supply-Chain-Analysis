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5" firstSheet="3" activeTab="3"/>
  </bookViews>
  <sheets>
    <sheet name="Orders &amp; Lines" sheetId="1" r:id="rId1"/>
    <sheet name="LIFR and VOFR" sheetId="3" r:id="rId2"/>
    <sheet name="OT and IF" sheetId="4" r:id="rId3"/>
    <sheet name="OTIF Consolidate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5" l="1"/>
  <c r="B14" i="5"/>
  <c r="B13" i="5"/>
  <c r="B14" i="3"/>
  <c r="E6" i="3"/>
  <c r="D6" i="3"/>
  <c r="B13" i="3"/>
  <c r="B15" i="4"/>
  <c r="E7" i="4"/>
  <c r="D7" i="4"/>
  <c r="B16" i="4" l="1"/>
</calcChain>
</file>

<file path=xl/sharedStrings.xml><?xml version="1.0" encoding="utf-8"?>
<sst xmlns="http://schemas.openxmlformats.org/spreadsheetml/2006/main" count="99" uniqueCount="38">
  <si>
    <t xml:space="preserve">Amazon order </t>
  </si>
  <si>
    <t>Date</t>
  </si>
  <si>
    <t>Order Id</t>
  </si>
  <si>
    <t>Items</t>
  </si>
  <si>
    <t>Qty ordered</t>
  </si>
  <si>
    <t>19/05/2025</t>
  </si>
  <si>
    <t>order1</t>
  </si>
  <si>
    <t>Keyboards</t>
  </si>
  <si>
    <t>20/05/2025</t>
  </si>
  <si>
    <t>order2</t>
  </si>
  <si>
    <t>Mouse</t>
  </si>
  <si>
    <t>Orders</t>
  </si>
  <si>
    <t>Total Lines</t>
  </si>
  <si>
    <t>Qty delivered</t>
  </si>
  <si>
    <t>Delivered in full?</t>
  </si>
  <si>
    <t>Order Lines</t>
  </si>
  <si>
    <t xml:space="preserve">Total Lines Delivered </t>
  </si>
  <si>
    <t>Who uses it?</t>
  </si>
  <si>
    <t>Line Fill Rate %</t>
  </si>
  <si>
    <t>Supply Managers</t>
  </si>
  <si>
    <t>Volume Fill Rate %</t>
  </si>
  <si>
    <t>Sales</t>
  </si>
  <si>
    <t>Delivered in Full?</t>
  </si>
  <si>
    <t>Agreed delivery date</t>
  </si>
  <si>
    <t>Actual Delivery Date</t>
  </si>
  <si>
    <t>Delivered On Time?</t>
  </si>
  <si>
    <t>21/05/2025</t>
  </si>
  <si>
    <t>Line Fill Rate</t>
  </si>
  <si>
    <t>VOFR</t>
  </si>
  <si>
    <t>In Full Orders (IF)</t>
  </si>
  <si>
    <t>Supply managers (regional)</t>
  </si>
  <si>
    <t>On Time Orders (OT)</t>
  </si>
  <si>
    <t>Warehouse &amp; Distribtuion</t>
  </si>
  <si>
    <t>Both OnTime &amp; In Full?</t>
  </si>
  <si>
    <t>Total Orders</t>
  </si>
  <si>
    <t>In Full Orders % (IF %)</t>
  </si>
  <si>
    <t>On Time Orders % (IF %)</t>
  </si>
  <si>
    <t>OnTime &amp; In Full % (OTIF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</si>
</sst>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2:D5" totalsRowShown="0">
  <autoFilter ref="A2:D5"/>
  <tableColumns count="4">
    <tableColumn id="1" name="Date"/>
    <tableColumn id="2" name="Order Id"/>
    <tableColumn id="3" name="Items"/>
    <tableColumn id="4" name="Qty order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2:F6" totalsRowCount="1">
  <autoFilter ref="A2:F5"/>
  <tableColumns count="6">
    <tableColumn id="1" name="Date"/>
    <tableColumn id="2" name="Order Id"/>
    <tableColumn id="3" name="Items"/>
    <tableColumn id="4" name="Qty ordered" totalsRowFunction="custom">
      <totalsRowFormula>SUM(Table13[Qty ordered])</totalsRowFormula>
    </tableColumn>
    <tableColumn id="5" name="Qty delivered" totalsRowFunction="custom">
      <totalsRowFormula>SUM(Table13[Qty delivered])</totalsRowFormula>
    </tableColumn>
    <tableColumn id="6" name="Delivered in full?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134" displayName="Table134" ref="A2:I5" totalsRowShown="0">
  <autoFilter ref="A2:I5"/>
  <tableColumns count="9">
    <tableColumn id="1" name="Date"/>
    <tableColumn id="2" name="Order Id"/>
    <tableColumn id="3" name="Items"/>
    <tableColumn id="4" name="Qty ordered"/>
    <tableColumn id="5" name="Qty delivered"/>
    <tableColumn id="6" name="Delivered in Full?"/>
    <tableColumn id="8" name="Agreed delivery date"/>
    <tableColumn id="7" name="Actual Delivery Date"/>
    <tableColumn id="9" name="Delivered On Time?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1345" displayName="Table1345" ref="A2:I4" totalsRowShown="0">
  <autoFilter ref="A2:I4"/>
  <tableColumns count="9">
    <tableColumn id="1" name="Date"/>
    <tableColumn id="2" name="Order Id"/>
    <tableColumn id="4" name="Qty ordered"/>
    <tableColumn id="5" name="Qty delivered"/>
    <tableColumn id="6" name="Delivered in Full?"/>
    <tableColumn id="8" name="Agreed delivery date"/>
    <tableColumn id="7" name="Actual Delivery Date"/>
    <tableColumn id="9" name="Delivered On Time?"/>
    <tableColumn id="10" name="Both OnTime &amp; In Full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showGridLines="0" workbookViewId="0">
      <selection activeCell="B12" sqref="B12"/>
    </sheetView>
  </sheetViews>
  <sheetFormatPr defaultRowHeight="15" x14ac:dyDescent="0.25"/>
  <cols>
    <col min="1" max="1" width="27.140625" customWidth="1"/>
    <col min="2" max="2" width="36.5703125" bestFit="1" customWidth="1"/>
    <col min="3" max="3" width="15.5703125" customWidth="1"/>
    <col min="4" max="4" width="14" customWidth="1"/>
  </cols>
  <sheetData>
    <row r="1" spans="1:4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>
        <v>5</v>
      </c>
    </row>
    <row r="4" spans="1:4" x14ac:dyDescent="0.25">
      <c r="A4" t="s">
        <v>8</v>
      </c>
      <c r="B4" t="s">
        <v>9</v>
      </c>
      <c r="C4" t="s">
        <v>7</v>
      </c>
      <c r="D4">
        <v>10</v>
      </c>
    </row>
    <row r="5" spans="1:4" x14ac:dyDescent="0.25">
      <c r="A5" t="s">
        <v>8</v>
      </c>
      <c r="B5" t="s">
        <v>9</v>
      </c>
      <c r="C5" t="s">
        <v>10</v>
      </c>
      <c r="D5">
        <v>5</v>
      </c>
    </row>
    <row r="9" spans="1:4" x14ac:dyDescent="0.25">
      <c r="A9" t="s">
        <v>11</v>
      </c>
      <c r="B9" s="2">
        <v>2</v>
      </c>
    </row>
    <row r="10" spans="1:4" x14ac:dyDescent="0.25">
      <c r="A10" t="s">
        <v>12</v>
      </c>
      <c r="B10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workbookViewId="0">
      <selection activeCell="C16" sqref="C16"/>
    </sheetView>
  </sheetViews>
  <sheetFormatPr defaultRowHeight="15" x14ac:dyDescent="0.25"/>
  <cols>
    <col min="1" max="1" width="27.140625" customWidth="1"/>
    <col min="2" max="2" width="10.5703125" bestFit="1" customWidth="1"/>
    <col min="3" max="3" width="15.5703125" customWidth="1"/>
    <col min="4" max="4" width="14" customWidth="1"/>
    <col min="5" max="5" width="15.28515625" customWidth="1"/>
    <col min="6" max="6" width="15.7109375" customWidth="1"/>
    <col min="7" max="7" width="15.28515625" customWidth="1"/>
  </cols>
  <sheetData>
    <row r="1" spans="1:6" x14ac:dyDescent="0.25">
      <c r="A1" t="s">
        <v>0</v>
      </c>
    </row>
    <row r="2" spans="1:6" ht="30" x14ac:dyDescent="0.25">
      <c r="A2" t="s">
        <v>1</v>
      </c>
      <c r="B2" t="s">
        <v>2</v>
      </c>
      <c r="C2" t="s">
        <v>3</v>
      </c>
      <c r="D2" t="s">
        <v>4</v>
      </c>
      <c r="E2" t="s">
        <v>13</v>
      </c>
      <c r="F2" s="2" t="s">
        <v>14</v>
      </c>
    </row>
    <row r="3" spans="1:6" x14ac:dyDescent="0.25">
      <c r="A3" t="s">
        <v>5</v>
      </c>
      <c r="B3" t="s">
        <v>6</v>
      </c>
      <c r="C3" t="s">
        <v>7</v>
      </c>
      <c r="D3">
        <v>5</v>
      </c>
      <c r="E3">
        <v>5</v>
      </c>
      <c r="F3">
        <v>1</v>
      </c>
    </row>
    <row r="4" spans="1:6" x14ac:dyDescent="0.25">
      <c r="A4" t="s">
        <v>8</v>
      </c>
      <c r="B4" t="s">
        <v>9</v>
      </c>
      <c r="C4" t="s">
        <v>7</v>
      </c>
      <c r="D4">
        <v>10</v>
      </c>
      <c r="E4">
        <v>7</v>
      </c>
      <c r="F4">
        <v>0</v>
      </c>
    </row>
    <row r="5" spans="1:6" x14ac:dyDescent="0.25">
      <c r="A5" t="s">
        <v>8</v>
      </c>
      <c r="B5" t="s">
        <v>9</v>
      </c>
      <c r="C5" t="s">
        <v>10</v>
      </c>
      <c r="D5">
        <v>5</v>
      </c>
      <c r="E5">
        <v>5</v>
      </c>
      <c r="F5">
        <v>1</v>
      </c>
    </row>
    <row r="6" spans="1:6" x14ac:dyDescent="0.25">
      <c r="D6">
        <f>SUM(Table13[Qty ordered])</f>
        <v>20</v>
      </c>
      <c r="E6">
        <f>SUM(Table13[Qty delivered])</f>
        <v>17</v>
      </c>
    </row>
    <row r="8" spans="1:6" x14ac:dyDescent="0.25">
      <c r="A8" s="3" t="s">
        <v>11</v>
      </c>
      <c r="B8">
        <v>2</v>
      </c>
    </row>
    <row r="9" spans="1:6" x14ac:dyDescent="0.25">
      <c r="A9" s="3" t="s">
        <v>15</v>
      </c>
      <c r="B9">
        <v>3</v>
      </c>
    </row>
    <row r="11" spans="1:6" x14ac:dyDescent="0.25">
      <c r="A11" s="2" t="s">
        <v>16</v>
      </c>
      <c r="B11" s="4">
        <v>2</v>
      </c>
    </row>
    <row r="12" spans="1:6" x14ac:dyDescent="0.25">
      <c r="D12" t="s">
        <v>17</v>
      </c>
    </row>
    <row r="13" spans="1:6" ht="30" x14ac:dyDescent="0.25">
      <c r="A13" t="s">
        <v>18</v>
      </c>
      <c r="B13" s="1">
        <f>B11/B9</f>
        <v>0.66666666666666663</v>
      </c>
      <c r="D13" s="2" t="s">
        <v>19</v>
      </c>
    </row>
    <row r="14" spans="1:6" x14ac:dyDescent="0.25">
      <c r="A14" t="s">
        <v>20</v>
      </c>
      <c r="B14" s="1">
        <f>Table13[[#Totals],[Qty delivered]]/Table13[[#Totals],[Qty ordered]]</f>
        <v>0.85</v>
      </c>
      <c r="D14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showGridLines="0" topLeftCell="A2" workbookViewId="0">
      <selection activeCell="E4" sqref="E4:E5"/>
    </sheetView>
  </sheetViews>
  <sheetFormatPr defaultRowHeight="15" x14ac:dyDescent="0.25"/>
  <cols>
    <col min="1" max="1" width="27.140625" customWidth="1"/>
    <col min="2" max="2" width="10.5703125" bestFit="1" customWidth="1"/>
    <col min="3" max="3" width="15.5703125" customWidth="1"/>
    <col min="4" max="4" width="14" customWidth="1"/>
    <col min="5" max="8" width="15.28515625" customWidth="1"/>
    <col min="9" max="9" width="10.7109375" customWidth="1"/>
  </cols>
  <sheetData>
    <row r="1" spans="1:9" x14ac:dyDescent="0.25">
      <c r="A1" t="s">
        <v>0</v>
      </c>
    </row>
    <row r="2" spans="1:9" ht="30" x14ac:dyDescent="0.25">
      <c r="A2" t="s">
        <v>1</v>
      </c>
      <c r="B2" t="s">
        <v>2</v>
      </c>
      <c r="C2" t="s">
        <v>3</v>
      </c>
      <c r="D2" t="s">
        <v>4</v>
      </c>
      <c r="E2" t="s">
        <v>13</v>
      </c>
      <c r="F2" s="2" t="s">
        <v>22</v>
      </c>
      <c r="G2" s="2" t="s">
        <v>23</v>
      </c>
      <c r="H2" s="2" t="s">
        <v>24</v>
      </c>
      <c r="I2" s="2" t="s">
        <v>25</v>
      </c>
    </row>
    <row r="3" spans="1:9" x14ac:dyDescent="0.25">
      <c r="A3" t="s">
        <v>5</v>
      </c>
      <c r="B3" t="s">
        <v>6</v>
      </c>
      <c r="C3" t="s">
        <v>7</v>
      </c>
      <c r="D3">
        <v>5</v>
      </c>
      <c r="E3">
        <v>5</v>
      </c>
      <c r="F3">
        <v>1</v>
      </c>
      <c r="G3" t="s">
        <v>26</v>
      </c>
      <c r="H3" t="s">
        <v>26</v>
      </c>
      <c r="I3">
        <v>1</v>
      </c>
    </row>
    <row r="4" spans="1:9" x14ac:dyDescent="0.25">
      <c r="A4" t="s">
        <v>8</v>
      </c>
      <c r="B4" t="s">
        <v>9</v>
      </c>
      <c r="C4" t="s">
        <v>7</v>
      </c>
      <c r="D4">
        <v>10</v>
      </c>
      <c r="E4">
        <v>7</v>
      </c>
      <c r="F4">
        <v>0</v>
      </c>
      <c r="G4" t="s">
        <v>26</v>
      </c>
      <c r="H4" t="s">
        <v>26</v>
      </c>
      <c r="I4">
        <v>1</v>
      </c>
    </row>
    <row r="5" spans="1:9" x14ac:dyDescent="0.25">
      <c r="A5" t="s">
        <v>8</v>
      </c>
      <c r="B5" t="s">
        <v>9</v>
      </c>
      <c r="C5" t="s">
        <v>10</v>
      </c>
      <c r="D5">
        <v>5</v>
      </c>
      <c r="E5">
        <v>5</v>
      </c>
      <c r="F5">
        <v>1</v>
      </c>
      <c r="G5" t="s">
        <v>26</v>
      </c>
      <c r="H5" t="s">
        <v>26</v>
      </c>
      <c r="I5">
        <v>1</v>
      </c>
    </row>
    <row r="7" spans="1:9" x14ac:dyDescent="0.25">
      <c r="D7">
        <f>SUM(Table134[Qty ordered])</f>
        <v>20</v>
      </c>
      <c r="E7">
        <f>SUM(Table134[Qty delivered])</f>
        <v>17</v>
      </c>
    </row>
    <row r="10" spans="1:9" x14ac:dyDescent="0.25">
      <c r="A10" s="5" t="s">
        <v>11</v>
      </c>
      <c r="B10">
        <v>2</v>
      </c>
    </row>
    <row r="11" spans="1:9" x14ac:dyDescent="0.25">
      <c r="A11" s="5" t="s">
        <v>12</v>
      </c>
      <c r="B11">
        <v>3</v>
      </c>
    </row>
    <row r="13" spans="1:9" x14ac:dyDescent="0.25">
      <c r="A13" s="6" t="s">
        <v>16</v>
      </c>
      <c r="B13">
        <v>1</v>
      </c>
    </row>
    <row r="15" spans="1:9" x14ac:dyDescent="0.25">
      <c r="A15" s="5" t="s">
        <v>27</v>
      </c>
      <c r="B15" s="1">
        <f>B13/B11</f>
        <v>0.33333333333333331</v>
      </c>
    </row>
    <row r="16" spans="1:9" x14ac:dyDescent="0.25">
      <c r="A16" s="5" t="s">
        <v>28</v>
      </c>
      <c r="B16" s="1">
        <f>E7/D7</f>
        <v>0.85</v>
      </c>
    </row>
    <row r="17" spans="1:5" x14ac:dyDescent="0.25">
      <c r="E17" t="s">
        <v>17</v>
      </c>
    </row>
    <row r="18" spans="1:5" ht="45" x14ac:dyDescent="0.25">
      <c r="A18" t="s">
        <v>29</v>
      </c>
      <c r="B18">
        <v>1</v>
      </c>
      <c r="E18" s="2" t="s">
        <v>30</v>
      </c>
    </row>
    <row r="19" spans="1:5" ht="30" x14ac:dyDescent="0.25">
      <c r="A19" t="s">
        <v>31</v>
      </c>
      <c r="B19">
        <v>2</v>
      </c>
      <c r="E19" s="2" t="s">
        <v>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showGridLines="0" tabSelected="1" workbookViewId="0">
      <selection activeCell="D16" sqref="D16"/>
    </sheetView>
  </sheetViews>
  <sheetFormatPr defaultRowHeight="15" x14ac:dyDescent="0.25"/>
  <cols>
    <col min="1" max="1" width="27.140625" customWidth="1"/>
    <col min="2" max="2" width="10.5703125" bestFit="1" customWidth="1"/>
    <col min="3" max="3" width="14" customWidth="1"/>
    <col min="4" max="7" width="15.28515625" customWidth="1"/>
    <col min="8" max="8" width="10.7109375" customWidth="1"/>
    <col min="9" max="9" width="23.7109375" bestFit="1" customWidth="1"/>
  </cols>
  <sheetData>
    <row r="1" spans="1:9" x14ac:dyDescent="0.25">
      <c r="A1" t="s">
        <v>0</v>
      </c>
    </row>
    <row r="2" spans="1:9" ht="30" x14ac:dyDescent="0.25">
      <c r="A2" t="s">
        <v>1</v>
      </c>
      <c r="B2" t="s">
        <v>2</v>
      </c>
      <c r="C2" t="s">
        <v>4</v>
      </c>
      <c r="D2" t="s">
        <v>13</v>
      </c>
      <c r="E2" s="2" t="s">
        <v>22</v>
      </c>
      <c r="F2" s="2" t="s">
        <v>23</v>
      </c>
      <c r="G2" s="2" t="s">
        <v>24</v>
      </c>
      <c r="H2" s="2" t="s">
        <v>25</v>
      </c>
      <c r="I2" t="s">
        <v>33</v>
      </c>
    </row>
    <row r="3" spans="1:9" x14ac:dyDescent="0.25">
      <c r="A3" t="s">
        <v>5</v>
      </c>
      <c r="B3" t="s">
        <v>6</v>
      </c>
      <c r="C3">
        <v>5</v>
      </c>
      <c r="D3">
        <v>5</v>
      </c>
      <c r="E3">
        <v>1</v>
      </c>
      <c r="F3" t="s">
        <v>26</v>
      </c>
      <c r="G3" t="s">
        <v>26</v>
      </c>
      <c r="H3">
        <v>1</v>
      </c>
      <c r="I3">
        <v>1</v>
      </c>
    </row>
    <row r="4" spans="1:9" x14ac:dyDescent="0.25">
      <c r="A4" t="s">
        <v>8</v>
      </c>
      <c r="B4" t="s">
        <v>9</v>
      </c>
      <c r="C4">
        <v>15</v>
      </c>
      <c r="D4">
        <v>12</v>
      </c>
      <c r="E4">
        <v>0</v>
      </c>
      <c r="F4" t="s">
        <v>26</v>
      </c>
      <c r="G4" t="s">
        <v>26</v>
      </c>
      <c r="H4">
        <v>1</v>
      </c>
      <c r="I4">
        <v>0</v>
      </c>
    </row>
    <row r="8" spans="1:9" x14ac:dyDescent="0.25">
      <c r="A8" s="5" t="s">
        <v>34</v>
      </c>
      <c r="B8">
        <v>2</v>
      </c>
    </row>
    <row r="10" spans="1:9" x14ac:dyDescent="0.25">
      <c r="A10" s="5" t="s">
        <v>29</v>
      </c>
      <c r="B10">
        <v>1</v>
      </c>
    </row>
    <row r="11" spans="1:9" x14ac:dyDescent="0.25">
      <c r="A11" s="5" t="s">
        <v>31</v>
      </c>
      <c r="B11">
        <v>2</v>
      </c>
    </row>
    <row r="13" spans="1:9" x14ac:dyDescent="0.25">
      <c r="A13" t="s">
        <v>35</v>
      </c>
      <c r="B13" s="1">
        <f>B10/B8</f>
        <v>0.5</v>
      </c>
    </row>
    <row r="14" spans="1:9" x14ac:dyDescent="0.25">
      <c r="A14" t="s">
        <v>36</v>
      </c>
      <c r="B14" s="1">
        <f>B11/B8</f>
        <v>1</v>
      </c>
    </row>
    <row r="16" spans="1:9" x14ac:dyDescent="0.25">
      <c r="A16" t="s">
        <v>37</v>
      </c>
      <c r="B16" s="1">
        <f>1/B8</f>
        <v>0.5</v>
      </c>
      <c r="D16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 &amp; Lines</vt:lpstr>
      <vt:lpstr>LIFR and VOFR</vt:lpstr>
      <vt:lpstr>OT and IF</vt:lpstr>
      <vt:lpstr>OTIF Consolidated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Hemanand Vadivel</dc:creator>
  <cp:keywords/>
  <dc:description/>
  <cp:lastModifiedBy>prajin</cp:lastModifiedBy>
  <cp:revision/>
  <dcterms:created xsi:type="dcterms:W3CDTF">2015-06-05T18:17:20Z</dcterms:created>
  <dcterms:modified xsi:type="dcterms:W3CDTF">2025-11-24T13:37:09Z</dcterms:modified>
  <cp:category/>
  <cp:contentStatus/>
</cp:coreProperties>
</file>